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J:\TannerBertGroup\UndergradStudents\MaddyChastain\IMSI_Kinetics_Examples\Rat_Step_Analysis\"/>
    </mc:Choice>
  </mc:AlternateContent>
  <xr:revisionPtr revIDLastSave="0" documentId="13_ncr:1_{FAC0F89E-4BCD-40F1-925B-BCD230140E16}" xr6:coauthVersionLast="47" xr6:coauthVersionMax="47" xr10:uidLastSave="{00000000-0000-0000-0000-000000000000}"/>
  <bookViews>
    <workbookView xWindow="31425" yWindow="2655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U11" i="1" s="1"/>
  <c r="O12" i="1"/>
  <c r="U12" i="1" s="1"/>
  <c r="O13" i="1"/>
  <c r="U13" i="1" s="1"/>
  <c r="O14" i="1"/>
  <c r="U14" i="1" s="1"/>
  <c r="O10" i="1"/>
  <c r="U10" i="1" s="1"/>
  <c r="O9" i="1"/>
  <c r="U9" i="1" s="1"/>
  <c r="O8" i="1"/>
  <c r="U8" i="1" s="1"/>
  <c r="O7" i="1"/>
  <c r="U7" i="1" s="1"/>
  <c r="O3" i="1"/>
  <c r="U3" i="1" s="1"/>
  <c r="O4" i="1"/>
  <c r="U4" i="1" s="1"/>
  <c r="O5" i="1"/>
  <c r="U5" i="1" s="1"/>
  <c r="O6" i="1"/>
  <c r="U6" i="1" s="1"/>
  <c r="O2" i="1"/>
  <c r="U2" i="1" s="1"/>
</calcChain>
</file>

<file path=xl/sharedStrings.xml><?xml version="1.0" encoding="utf-8"?>
<sst xmlns="http://schemas.openxmlformats.org/spreadsheetml/2006/main" count="140" uniqueCount="35">
  <si>
    <t>Animal_ID</t>
  </si>
  <si>
    <t>Fiber_Num</t>
  </si>
  <si>
    <t>Trial</t>
  </si>
  <si>
    <t>Protocol</t>
  </si>
  <si>
    <t>Fiber_Type</t>
  </si>
  <si>
    <t>Species</t>
  </si>
  <si>
    <t>Sex</t>
  </si>
  <si>
    <t>Cond</t>
  </si>
  <si>
    <t>SL_um</t>
  </si>
  <si>
    <t>ML_Total_mm</t>
  </si>
  <si>
    <t>ML_Working_mm</t>
  </si>
  <si>
    <t>Fiber_D_um</t>
  </si>
  <si>
    <t>CSA_mm2</t>
  </si>
  <si>
    <t>Isotonic_F0</t>
  </si>
  <si>
    <t>Movement_to_bath_3</t>
  </si>
  <si>
    <t>Step_time_s</t>
  </si>
  <si>
    <t>Iso_Fmax_mN</t>
  </si>
  <si>
    <t>Fmax_Rndn_pct</t>
  </si>
  <si>
    <t>Iso_StressMax_mNpermm2</t>
  </si>
  <si>
    <t>Analyzed</t>
  </si>
  <si>
    <t>Notes</t>
  </si>
  <si>
    <t>251112R3</t>
  </si>
  <si>
    <t>Step</t>
  </si>
  <si>
    <t>Iso</t>
  </si>
  <si>
    <t>F</t>
  </si>
  <si>
    <t>F_vel</t>
  </si>
  <si>
    <t>Rat</t>
  </si>
  <si>
    <t>No</t>
  </si>
  <si>
    <t>251112R303</t>
  </si>
  <si>
    <t>251112R305</t>
  </si>
  <si>
    <t>Muscle</t>
  </si>
  <si>
    <t>Soleus</t>
  </si>
  <si>
    <t>OM_Conc_uM</t>
  </si>
  <si>
    <t>I</t>
  </si>
  <si>
    <t>Cntrl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</si>
</sst>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3"/>
  <sheetViews>
    <sheetView tabSelected="1" zoomScale="86" zoomScaleNormal="86" workbookViewId="0">
      <selection activeCell="J2" sqref="J2:J14"/>
    </sheetView>
  </sheetViews>
  <sheetFormatPr defaultRowHeight="15" x14ac:dyDescent="0.25"/>
  <cols>
    <col min="1" max="1" width="10.7109375" customWidth="1"/>
    <col min="2" max="2" width="13.140625" customWidth="1"/>
    <col min="3" max="3" width="6.42578125" customWidth="1"/>
    <col min="6" max="6" width="10.85546875" customWidth="1"/>
    <col min="10" max="10" width="15.7109375" customWidth="1"/>
    <col min="12" max="12" width="14" customWidth="1"/>
    <col min="13" max="13" width="17" customWidth="1"/>
    <col min="14" max="14" width="12" customWidth="1"/>
    <col min="15" max="15" width="10.28515625" customWidth="1"/>
    <col min="16" max="16" width="11.5703125" customWidth="1"/>
    <col min="17" max="17" width="21" customWidth="1"/>
    <col min="18" max="18" width="13.140625" customWidth="1"/>
    <col min="19" max="19" width="14" customWidth="1"/>
    <col min="20" max="20" width="15.28515625" customWidth="1"/>
    <col min="21" max="21" width="25.42578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4</v>
      </c>
      <c r="G1" t="s">
        <v>5</v>
      </c>
      <c r="H1" t="s">
        <v>6</v>
      </c>
      <c r="I1" t="s">
        <v>7</v>
      </c>
      <c r="J1" t="s">
        <v>32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5">
      <c r="A2" t="s">
        <v>21</v>
      </c>
      <c r="B2" t="s">
        <v>28</v>
      </c>
      <c r="C2">
        <v>1</v>
      </c>
      <c r="D2" t="s">
        <v>22</v>
      </c>
      <c r="E2" t="s">
        <v>31</v>
      </c>
      <c r="F2" t="s">
        <v>33</v>
      </c>
      <c r="G2" t="s">
        <v>26</v>
      </c>
      <c r="H2" t="s">
        <v>24</v>
      </c>
      <c r="I2" t="s">
        <v>34</v>
      </c>
      <c r="J2">
        <v>0</v>
      </c>
      <c r="K2">
        <v>2.4</v>
      </c>
      <c r="L2">
        <v>2.665</v>
      </c>
      <c r="M2">
        <v>1.7549999999999999</v>
      </c>
      <c r="N2">
        <v>65</v>
      </c>
      <c r="O2">
        <f>3.14159*(N2/2000)*(N2/2000)</f>
        <v>3.3183044375000004E-3</v>
      </c>
      <c r="P2">
        <v>1</v>
      </c>
      <c r="Q2">
        <v>30.5</v>
      </c>
      <c r="R2">
        <v>35.5</v>
      </c>
      <c r="S2">
        <v>0.5</v>
      </c>
      <c r="U2">
        <f>S2/O2</f>
        <v>150.67936333674626</v>
      </c>
      <c r="V2" t="s">
        <v>27</v>
      </c>
    </row>
    <row r="3" spans="1:23" x14ac:dyDescent="0.25">
      <c r="A3" t="s">
        <v>21</v>
      </c>
      <c r="B3" t="s">
        <v>28</v>
      </c>
      <c r="C3">
        <v>2</v>
      </c>
      <c r="D3" t="s">
        <v>22</v>
      </c>
      <c r="E3" t="s">
        <v>31</v>
      </c>
      <c r="F3" t="s">
        <v>33</v>
      </c>
      <c r="G3" t="s">
        <v>26</v>
      </c>
      <c r="H3" t="s">
        <v>24</v>
      </c>
      <c r="I3" t="s">
        <v>34</v>
      </c>
      <c r="J3">
        <v>0</v>
      </c>
      <c r="K3">
        <v>2.7</v>
      </c>
      <c r="L3">
        <v>2.99</v>
      </c>
      <c r="M3">
        <v>2.0150000000000001</v>
      </c>
      <c r="N3">
        <v>62</v>
      </c>
      <c r="O3">
        <f t="shared" ref="O3:O14" si="0">3.14159*(N3/2000)*(N3/2000)</f>
        <v>3.0190679899999998E-3</v>
      </c>
      <c r="P3">
        <v>1</v>
      </c>
      <c r="Q3">
        <v>30.5</v>
      </c>
      <c r="R3">
        <v>35.5</v>
      </c>
      <c r="S3">
        <v>0.49</v>
      </c>
      <c r="U3">
        <f t="shared" ref="U3:U10" si="1">S3/O3</f>
        <v>162.30174398954162</v>
      </c>
      <c r="V3" t="s">
        <v>27</v>
      </c>
    </row>
    <row r="4" spans="1:23" x14ac:dyDescent="0.25">
      <c r="A4" t="s">
        <v>21</v>
      </c>
      <c r="B4" t="s">
        <v>28</v>
      </c>
      <c r="C4">
        <v>3</v>
      </c>
      <c r="D4" t="s">
        <v>23</v>
      </c>
      <c r="E4" t="s">
        <v>31</v>
      </c>
      <c r="F4" t="s">
        <v>33</v>
      </c>
      <c r="G4" t="s">
        <v>26</v>
      </c>
      <c r="H4" t="s">
        <v>24</v>
      </c>
      <c r="I4" t="s">
        <v>34</v>
      </c>
      <c r="J4">
        <v>0</v>
      </c>
      <c r="K4">
        <v>2.4</v>
      </c>
      <c r="L4">
        <v>2.73</v>
      </c>
      <c r="M4">
        <v>1.885</v>
      </c>
      <c r="N4">
        <v>65</v>
      </c>
      <c r="O4">
        <f t="shared" si="0"/>
        <v>3.3183044375000004E-3</v>
      </c>
      <c r="P4">
        <v>1</v>
      </c>
      <c r="Q4">
        <v>30.5</v>
      </c>
      <c r="R4">
        <v>0</v>
      </c>
      <c r="S4">
        <v>0.5</v>
      </c>
      <c r="U4">
        <f t="shared" si="1"/>
        <v>150.67936333674626</v>
      </c>
      <c r="V4" t="s">
        <v>27</v>
      </c>
    </row>
    <row r="5" spans="1:23" x14ac:dyDescent="0.25">
      <c r="A5" t="s">
        <v>21</v>
      </c>
      <c r="B5" t="s">
        <v>28</v>
      </c>
      <c r="C5">
        <v>4</v>
      </c>
      <c r="D5" t="s">
        <v>25</v>
      </c>
      <c r="E5" t="s">
        <v>31</v>
      </c>
      <c r="F5" t="s">
        <v>33</v>
      </c>
      <c r="G5" t="s">
        <v>26</v>
      </c>
      <c r="H5" t="s">
        <v>24</v>
      </c>
      <c r="I5" t="s">
        <v>34</v>
      </c>
      <c r="J5">
        <v>0</v>
      </c>
      <c r="K5">
        <v>2.7</v>
      </c>
      <c r="L5">
        <v>2.99</v>
      </c>
      <c r="M5">
        <v>2.08</v>
      </c>
      <c r="N5">
        <v>62</v>
      </c>
      <c r="O5">
        <f t="shared" si="0"/>
        <v>3.0190679899999998E-3</v>
      </c>
      <c r="P5">
        <v>0.1</v>
      </c>
      <c r="Q5">
        <v>30.5</v>
      </c>
      <c r="R5">
        <v>35.5</v>
      </c>
      <c r="S5">
        <v>0.47</v>
      </c>
      <c r="U5">
        <f t="shared" si="1"/>
        <v>155.67718301037667</v>
      </c>
      <c r="V5" t="s">
        <v>27</v>
      </c>
    </row>
    <row r="6" spans="1:23" x14ac:dyDescent="0.25">
      <c r="A6" t="s">
        <v>21</v>
      </c>
      <c r="B6" t="s">
        <v>28</v>
      </c>
      <c r="C6">
        <v>5</v>
      </c>
      <c r="D6" t="s">
        <v>25</v>
      </c>
      <c r="E6" t="s">
        <v>31</v>
      </c>
      <c r="F6" t="s">
        <v>33</v>
      </c>
      <c r="G6" t="s">
        <v>26</v>
      </c>
      <c r="H6" t="s">
        <v>24</v>
      </c>
      <c r="I6" t="s">
        <v>34</v>
      </c>
      <c r="J6">
        <v>0</v>
      </c>
      <c r="K6">
        <v>2.7</v>
      </c>
      <c r="L6">
        <v>2.99</v>
      </c>
      <c r="M6">
        <v>2.08</v>
      </c>
      <c r="N6">
        <v>62</v>
      </c>
      <c r="O6">
        <f t="shared" si="0"/>
        <v>3.0190679899999998E-3</v>
      </c>
      <c r="P6">
        <v>0.2</v>
      </c>
      <c r="Q6">
        <v>30.5</v>
      </c>
      <c r="R6">
        <v>35.5</v>
      </c>
      <c r="S6">
        <v>0.39</v>
      </c>
      <c r="U6">
        <f t="shared" si="1"/>
        <v>129.17893909371682</v>
      </c>
      <c r="V6" t="s">
        <v>27</v>
      </c>
    </row>
    <row r="7" spans="1:23" x14ac:dyDescent="0.25">
      <c r="A7" t="s">
        <v>21</v>
      </c>
      <c r="B7" t="s">
        <v>29</v>
      </c>
      <c r="C7">
        <v>1</v>
      </c>
      <c r="D7" t="s">
        <v>22</v>
      </c>
      <c r="E7" t="s">
        <v>31</v>
      </c>
      <c r="F7" t="s">
        <v>33</v>
      </c>
      <c r="G7" t="s">
        <v>26</v>
      </c>
      <c r="H7" t="s">
        <v>24</v>
      </c>
      <c r="I7" t="s">
        <v>34</v>
      </c>
      <c r="J7">
        <v>0</v>
      </c>
      <c r="K7">
        <v>2.4</v>
      </c>
      <c r="L7">
        <v>2.6</v>
      </c>
      <c r="M7">
        <v>1.885</v>
      </c>
      <c r="N7">
        <v>62</v>
      </c>
      <c r="O7">
        <f t="shared" si="0"/>
        <v>3.0190679899999998E-3</v>
      </c>
      <c r="P7">
        <v>1</v>
      </c>
      <c r="Q7">
        <v>30.5</v>
      </c>
      <c r="R7">
        <v>35.5</v>
      </c>
      <c r="S7">
        <v>0.56000000000000005</v>
      </c>
      <c r="U7">
        <f t="shared" si="1"/>
        <v>185.48770741661903</v>
      </c>
      <c r="V7" t="s">
        <v>27</v>
      </c>
    </row>
    <row r="8" spans="1:23" x14ac:dyDescent="0.25">
      <c r="A8" t="s">
        <v>21</v>
      </c>
      <c r="B8" t="s">
        <v>29</v>
      </c>
      <c r="C8">
        <v>2</v>
      </c>
      <c r="D8" t="s">
        <v>22</v>
      </c>
      <c r="E8" t="s">
        <v>31</v>
      </c>
      <c r="F8" t="s">
        <v>33</v>
      </c>
      <c r="G8" t="s">
        <v>26</v>
      </c>
      <c r="H8" t="s">
        <v>24</v>
      </c>
      <c r="I8" t="s">
        <v>34</v>
      </c>
      <c r="J8">
        <v>0</v>
      </c>
      <c r="K8">
        <v>2.7</v>
      </c>
      <c r="L8">
        <v>2.7949999999999999</v>
      </c>
      <c r="M8">
        <v>20.149999999999999</v>
      </c>
      <c r="N8">
        <v>55</v>
      </c>
      <c r="O8">
        <f t="shared" si="0"/>
        <v>2.3758274374999998E-3</v>
      </c>
      <c r="P8">
        <v>1</v>
      </c>
      <c r="Q8">
        <v>30.5</v>
      </c>
      <c r="R8">
        <v>35.5</v>
      </c>
      <c r="S8">
        <v>0.47</v>
      </c>
      <c r="U8">
        <f t="shared" si="1"/>
        <v>197.82581536921913</v>
      </c>
      <c r="V8" t="s">
        <v>27</v>
      </c>
    </row>
    <row r="9" spans="1:23" x14ac:dyDescent="0.25">
      <c r="A9" t="s">
        <v>21</v>
      </c>
      <c r="B9" t="s">
        <v>29</v>
      </c>
      <c r="C9">
        <v>3</v>
      </c>
      <c r="D9" t="s">
        <v>23</v>
      </c>
      <c r="E9" t="s">
        <v>31</v>
      </c>
      <c r="F9" t="s">
        <v>33</v>
      </c>
      <c r="G9" t="s">
        <v>26</v>
      </c>
      <c r="H9" t="s">
        <v>24</v>
      </c>
      <c r="I9" t="s">
        <v>34</v>
      </c>
      <c r="J9">
        <v>0</v>
      </c>
      <c r="K9">
        <v>2.4</v>
      </c>
      <c r="L9">
        <v>2.66</v>
      </c>
      <c r="M9">
        <v>1.885</v>
      </c>
      <c r="N9">
        <v>59</v>
      </c>
      <c r="O9">
        <f t="shared" si="0"/>
        <v>2.7339686974999994E-3</v>
      </c>
      <c r="P9">
        <v>1</v>
      </c>
      <c r="Q9">
        <v>30.5</v>
      </c>
      <c r="R9">
        <v>0</v>
      </c>
      <c r="S9">
        <v>0.51</v>
      </c>
      <c r="U9">
        <f t="shared" si="1"/>
        <v>186.54200410793112</v>
      </c>
      <c r="V9" t="s">
        <v>27</v>
      </c>
    </row>
    <row r="10" spans="1:23" x14ac:dyDescent="0.25">
      <c r="A10" t="s">
        <v>21</v>
      </c>
      <c r="B10" t="s">
        <v>29</v>
      </c>
      <c r="C10">
        <v>4</v>
      </c>
      <c r="D10" t="s">
        <v>25</v>
      </c>
      <c r="E10" t="s">
        <v>31</v>
      </c>
      <c r="F10" t="s">
        <v>33</v>
      </c>
      <c r="G10" t="s">
        <v>26</v>
      </c>
      <c r="H10" t="s">
        <v>24</v>
      </c>
      <c r="I10" t="s">
        <v>34</v>
      </c>
      <c r="J10">
        <v>0</v>
      </c>
      <c r="K10">
        <v>2.7</v>
      </c>
      <c r="L10">
        <v>2.86</v>
      </c>
      <c r="M10">
        <v>2.0150000000000001</v>
      </c>
      <c r="N10">
        <v>55</v>
      </c>
      <c r="O10">
        <f t="shared" si="0"/>
        <v>2.3758274374999998E-3</v>
      </c>
      <c r="P10">
        <v>0.2</v>
      </c>
      <c r="Q10">
        <v>30.5</v>
      </c>
      <c r="R10">
        <v>35.5</v>
      </c>
      <c r="S10">
        <v>0.52</v>
      </c>
      <c r="U10">
        <f t="shared" si="1"/>
        <v>218.87111487658288</v>
      </c>
      <c r="V10" t="s">
        <v>27</v>
      </c>
    </row>
    <row r="11" spans="1:23" x14ac:dyDescent="0.25">
      <c r="A11" t="s">
        <v>21</v>
      </c>
      <c r="B11" t="s">
        <v>29</v>
      </c>
      <c r="C11">
        <v>5</v>
      </c>
      <c r="D11" t="s">
        <v>25</v>
      </c>
      <c r="E11" t="s">
        <v>31</v>
      </c>
      <c r="F11" t="s">
        <v>33</v>
      </c>
      <c r="G11" t="s">
        <v>26</v>
      </c>
      <c r="H11" t="s">
        <v>24</v>
      </c>
      <c r="I11" t="s">
        <v>34</v>
      </c>
      <c r="J11">
        <v>0</v>
      </c>
      <c r="K11">
        <v>2.7</v>
      </c>
      <c r="L11">
        <v>2.86</v>
      </c>
      <c r="M11">
        <v>2.0150000000000001</v>
      </c>
      <c r="N11">
        <v>55</v>
      </c>
      <c r="O11">
        <f t="shared" si="0"/>
        <v>2.3758274374999998E-3</v>
      </c>
      <c r="P11">
        <v>0.1</v>
      </c>
      <c r="Q11">
        <v>30.5</v>
      </c>
      <c r="R11">
        <v>35.5</v>
      </c>
      <c r="S11">
        <v>0.51</v>
      </c>
      <c r="U11">
        <f t="shared" ref="U11:U14" si="2">S11/O11</f>
        <v>214.66205497511015</v>
      </c>
      <c r="V11" t="s">
        <v>27</v>
      </c>
    </row>
    <row r="12" spans="1:23" x14ac:dyDescent="0.25">
      <c r="A12" t="s">
        <v>21</v>
      </c>
      <c r="B12" t="s">
        <v>29</v>
      </c>
      <c r="C12">
        <v>6</v>
      </c>
      <c r="D12" t="s">
        <v>25</v>
      </c>
      <c r="E12" t="s">
        <v>31</v>
      </c>
      <c r="F12" t="s">
        <v>33</v>
      </c>
      <c r="G12" t="s">
        <v>26</v>
      </c>
      <c r="H12" t="s">
        <v>24</v>
      </c>
      <c r="I12" t="s">
        <v>34</v>
      </c>
      <c r="J12">
        <v>0</v>
      </c>
      <c r="K12">
        <v>2.7</v>
      </c>
      <c r="L12">
        <v>2.86</v>
      </c>
      <c r="M12">
        <v>2.0150000000000001</v>
      </c>
      <c r="N12">
        <v>55</v>
      </c>
      <c r="O12">
        <f t="shared" si="0"/>
        <v>2.3758274374999998E-3</v>
      </c>
      <c r="P12">
        <v>0.75</v>
      </c>
      <c r="Q12">
        <v>30.5</v>
      </c>
      <c r="R12">
        <v>35.5</v>
      </c>
      <c r="S12">
        <v>0.47</v>
      </c>
      <c r="U12">
        <f t="shared" si="2"/>
        <v>197.82581536921913</v>
      </c>
      <c r="V12" t="s">
        <v>27</v>
      </c>
    </row>
    <row r="13" spans="1:23" x14ac:dyDescent="0.25">
      <c r="A13" t="s">
        <v>21</v>
      </c>
      <c r="B13" t="s">
        <v>29</v>
      </c>
      <c r="C13">
        <v>7</v>
      </c>
      <c r="D13" t="s">
        <v>25</v>
      </c>
      <c r="E13" t="s">
        <v>31</v>
      </c>
      <c r="F13" t="s">
        <v>33</v>
      </c>
      <c r="G13" t="s">
        <v>26</v>
      </c>
      <c r="H13" t="s">
        <v>24</v>
      </c>
      <c r="I13" t="s">
        <v>34</v>
      </c>
      <c r="J13">
        <v>0</v>
      </c>
      <c r="K13">
        <v>2.7</v>
      </c>
      <c r="L13">
        <v>2.86</v>
      </c>
      <c r="M13">
        <v>2.0150000000000001</v>
      </c>
      <c r="N13">
        <v>55</v>
      </c>
      <c r="O13">
        <f t="shared" si="0"/>
        <v>2.3758274374999998E-3</v>
      </c>
      <c r="P13">
        <v>0.3</v>
      </c>
      <c r="Q13">
        <v>30.5</v>
      </c>
      <c r="R13">
        <v>35.5</v>
      </c>
      <c r="S13">
        <v>0.47</v>
      </c>
      <c r="U13">
        <f t="shared" si="2"/>
        <v>197.82581536921913</v>
      </c>
      <c r="V13" t="s">
        <v>27</v>
      </c>
    </row>
    <row r="14" spans="1:23" x14ac:dyDescent="0.25">
      <c r="A14" t="s">
        <v>21</v>
      </c>
      <c r="B14" t="s">
        <v>29</v>
      </c>
      <c r="C14">
        <v>8</v>
      </c>
      <c r="D14" t="s">
        <v>25</v>
      </c>
      <c r="E14" t="s">
        <v>31</v>
      </c>
      <c r="F14" t="s">
        <v>33</v>
      </c>
      <c r="G14" t="s">
        <v>26</v>
      </c>
      <c r="H14" t="s">
        <v>24</v>
      </c>
      <c r="I14" t="s">
        <v>34</v>
      </c>
      <c r="J14">
        <v>0</v>
      </c>
      <c r="K14">
        <v>2.7</v>
      </c>
      <c r="L14">
        <v>2.86</v>
      </c>
      <c r="M14">
        <v>2.0150000000000001</v>
      </c>
      <c r="N14">
        <v>55</v>
      </c>
      <c r="O14">
        <f t="shared" si="0"/>
        <v>2.3758274374999998E-3</v>
      </c>
      <c r="P14">
        <v>0.5</v>
      </c>
      <c r="Q14">
        <v>30.5</v>
      </c>
      <c r="R14">
        <v>35.5</v>
      </c>
      <c r="S14">
        <v>0.48</v>
      </c>
      <c r="U14">
        <f t="shared" si="2"/>
        <v>202.03487527069188</v>
      </c>
      <c r="V14" t="s">
        <v>27</v>
      </c>
    </row>
    <row r="45" spans="21:21" x14ac:dyDescent="0.25">
      <c r="U45" s="1"/>
    </row>
    <row r="61" spans="21:21" x14ac:dyDescent="0.25">
      <c r="U61" s="1"/>
    </row>
    <row r="62" spans="21:21" x14ac:dyDescent="0.25">
      <c r="U62" s="1"/>
    </row>
    <row r="63" spans="21:21" x14ac:dyDescent="0.25">
      <c r="U63" s="1"/>
    </row>
    <row r="64" spans="21:21" x14ac:dyDescent="0.25">
      <c r="U64" s="1"/>
    </row>
    <row r="88" spans="21:21" x14ac:dyDescent="0.25">
      <c r="U88" s="1"/>
    </row>
    <row r="89" spans="21:21" x14ac:dyDescent="0.25">
      <c r="U89" s="1"/>
    </row>
    <row r="90" spans="21:21" x14ac:dyDescent="0.25">
      <c r="U90" s="1"/>
    </row>
    <row r="91" spans="21:21" x14ac:dyDescent="0.25">
      <c r="U91" s="1"/>
    </row>
    <row r="92" spans="21:21" x14ac:dyDescent="0.25">
      <c r="U92" s="1"/>
    </row>
    <row r="93" spans="21:21" x14ac:dyDescent="0.25">
      <c r="U93" s="1"/>
    </row>
    <row r="94" spans="21:21" x14ac:dyDescent="0.25">
      <c r="U94" s="1"/>
    </row>
    <row r="95" spans="21:21" x14ac:dyDescent="0.25">
      <c r="U95" s="1"/>
    </row>
    <row r="110" spans="21:21" x14ac:dyDescent="0.25">
      <c r="U110" s="1"/>
    </row>
    <row r="111" spans="21:21" x14ac:dyDescent="0.25">
      <c r="U111" s="1"/>
    </row>
    <row r="112" spans="21:21" x14ac:dyDescent="0.25">
      <c r="U112" s="1"/>
    </row>
    <row r="113" spans="21:21" x14ac:dyDescent="0.25">
      <c r="U113" s="1"/>
    </row>
    <row r="114" spans="21:21" x14ac:dyDescent="0.25">
      <c r="U114" s="1"/>
    </row>
    <row r="143" spans="21:21" x14ac:dyDescent="0.25">
      <c r="U143" s="1"/>
    </row>
    <row r="157" spans="21:21" x14ac:dyDescent="0.25">
      <c r="U157" s="1"/>
    </row>
    <row r="158" spans="21:21" x14ac:dyDescent="0.25">
      <c r="U158" s="1"/>
    </row>
    <row r="189" spans="21:21" x14ac:dyDescent="0.25">
      <c r="U189" s="1"/>
    </row>
    <row r="191" spans="21:21" x14ac:dyDescent="0.25">
      <c r="U191" s="1"/>
    </row>
    <row r="197" spans="21:21" x14ac:dyDescent="0.25">
      <c r="U197" s="1"/>
    </row>
    <row r="198" spans="21:21" x14ac:dyDescent="0.25">
      <c r="U198" s="1"/>
    </row>
    <row r="199" spans="21:21" x14ac:dyDescent="0.25">
      <c r="U199" s="1"/>
    </row>
    <row r="200" spans="21:21" x14ac:dyDescent="0.25">
      <c r="U200" s="1"/>
    </row>
    <row r="201" spans="21:21" x14ac:dyDescent="0.25">
      <c r="U201" s="1"/>
    </row>
    <row r="202" spans="21:21" x14ac:dyDescent="0.25">
      <c r="U202" s="1"/>
    </row>
    <row r="203" spans="21:21" x14ac:dyDescent="0.25">
      <c r="U203" s="1"/>
    </row>
    <row r="204" spans="21:21" x14ac:dyDescent="0.25">
      <c r="U204" s="1"/>
    </row>
    <row r="257" spans="21:21" x14ac:dyDescent="0.25">
      <c r="U257" s="1"/>
    </row>
    <row r="258" spans="21:21" x14ac:dyDescent="0.25">
      <c r="U258" s="1"/>
    </row>
    <row r="259" spans="21:21" x14ac:dyDescent="0.25">
      <c r="U259" s="1"/>
    </row>
    <row r="260" spans="21:21" x14ac:dyDescent="0.25">
      <c r="U260" s="1"/>
    </row>
    <row r="261" spans="21:21" x14ac:dyDescent="0.25">
      <c r="U261" s="1"/>
    </row>
    <row r="262" spans="21:21" x14ac:dyDescent="0.25">
      <c r="U262" s="1"/>
    </row>
    <row r="263" spans="21:21" x14ac:dyDescent="0.25">
      <c r="U263" s="1"/>
    </row>
    <row r="264" spans="21:21" x14ac:dyDescent="0.25">
      <c r="U264" s="1"/>
    </row>
    <row r="265" spans="21:21" x14ac:dyDescent="0.25">
      <c r="U265" s="1"/>
    </row>
    <row r="266" spans="21:21" x14ac:dyDescent="0.25">
      <c r="U266" s="1"/>
    </row>
    <row r="267" spans="21:21" x14ac:dyDescent="0.25">
      <c r="U267" s="1"/>
    </row>
    <row r="268" spans="21:21" x14ac:dyDescent="0.25">
      <c r="U268" s="1"/>
    </row>
    <row r="269" spans="21:21" x14ac:dyDescent="0.25">
      <c r="U269" s="1"/>
    </row>
    <row r="270" spans="21:21" x14ac:dyDescent="0.25">
      <c r="U270" s="1"/>
    </row>
    <row r="271" spans="21:21" x14ac:dyDescent="0.25">
      <c r="U271" s="1"/>
    </row>
    <row r="280" spans="21:21" x14ac:dyDescent="0.25">
      <c r="U280" s="1"/>
    </row>
    <row r="281" spans="21:21" x14ac:dyDescent="0.25">
      <c r="U281" s="1"/>
    </row>
    <row r="282" spans="21:21" x14ac:dyDescent="0.25">
      <c r="U282" s="1"/>
    </row>
    <row r="283" spans="21:21" x14ac:dyDescent="0.25">
      <c r="U283" s="1"/>
    </row>
    <row r="284" spans="21:21" x14ac:dyDescent="0.25">
      <c r="U284" s="1"/>
    </row>
    <row r="285" spans="21:21" x14ac:dyDescent="0.25">
      <c r="U285" s="1"/>
    </row>
    <row r="286" spans="21:21" x14ac:dyDescent="0.25">
      <c r="U286" s="1"/>
    </row>
    <row r="287" spans="21:21" x14ac:dyDescent="0.25">
      <c r="U287" s="1"/>
    </row>
    <row r="288" spans="21:21" x14ac:dyDescent="0.25">
      <c r="U288" s="1"/>
    </row>
    <row r="289" spans="21:21" x14ac:dyDescent="0.25">
      <c r="U289" s="1"/>
    </row>
    <row r="294" spans="21:21" x14ac:dyDescent="0.25">
      <c r="U294" s="1"/>
    </row>
    <row r="295" spans="21:21" x14ac:dyDescent="0.25">
      <c r="U295" s="1"/>
    </row>
    <row r="296" spans="21:21" x14ac:dyDescent="0.25">
      <c r="U296" s="1"/>
    </row>
    <row r="297" spans="21:21" x14ac:dyDescent="0.25">
      <c r="U297" s="1"/>
    </row>
    <row r="298" spans="21:21" x14ac:dyDescent="0.25">
      <c r="U298" s="1"/>
    </row>
    <row r="299" spans="21:21" x14ac:dyDescent="0.25">
      <c r="U299" s="1"/>
    </row>
    <row r="300" spans="21:21" x14ac:dyDescent="0.25">
      <c r="U300" s="1"/>
    </row>
    <row r="301" spans="21:21" x14ac:dyDescent="0.25">
      <c r="U301" s="1"/>
    </row>
    <row r="302" spans="21:21" x14ac:dyDescent="0.25">
      <c r="U302" s="1"/>
    </row>
    <row r="303" spans="21:21" x14ac:dyDescent="0.25">
      <c r="U303" s="1"/>
    </row>
    <row r="304" spans="21:21" x14ac:dyDescent="0.25">
      <c r="U304" s="1"/>
    </row>
    <row r="305" spans="21:21" x14ac:dyDescent="0.25">
      <c r="U305" s="1"/>
    </row>
    <row r="306" spans="21:21" x14ac:dyDescent="0.25">
      <c r="U306" s="1"/>
    </row>
    <row r="307" spans="21:21" x14ac:dyDescent="0.25">
      <c r="U307" s="1"/>
    </row>
    <row r="308" spans="21:21" x14ac:dyDescent="0.25">
      <c r="U308" s="1"/>
    </row>
    <row r="309" spans="21:21" x14ac:dyDescent="0.25">
      <c r="U309" s="1"/>
    </row>
    <row r="317" spans="21:21" x14ac:dyDescent="0.25">
      <c r="U317" s="1"/>
    </row>
    <row r="318" spans="21:21" x14ac:dyDescent="0.25">
      <c r="U318" s="1"/>
    </row>
    <row r="319" spans="21:21" x14ac:dyDescent="0.25">
      <c r="U319" s="1"/>
    </row>
    <row r="320" spans="21:21" x14ac:dyDescent="0.25">
      <c r="U320" s="1"/>
    </row>
    <row r="321" spans="21:21" x14ac:dyDescent="0.25">
      <c r="U321" s="1"/>
    </row>
    <row r="322" spans="21:21" x14ac:dyDescent="0.25">
      <c r="U322" s="1"/>
    </row>
    <row r="323" spans="21:21" x14ac:dyDescent="0.25">
      <c r="U3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Au, Austin Kulani</dc:creator>
  <cp:lastModifiedBy>Tanner, Bertrand</cp:lastModifiedBy>
  <dcterms:created xsi:type="dcterms:W3CDTF">2015-06-05T18:17:20Z</dcterms:created>
  <dcterms:modified xsi:type="dcterms:W3CDTF">2026-07-29T18:59:17Z</dcterms:modified>
</cp:coreProperties>
</file>