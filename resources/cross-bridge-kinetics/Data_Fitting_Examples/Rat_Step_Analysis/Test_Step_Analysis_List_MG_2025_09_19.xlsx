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J:\TannerBertGroup\UndergradStudents\MaddyChastain\IMSI_Kinetics_Examples\Rat_Step_Analysis\"/>
    </mc:Choice>
  </mc:AlternateContent>
  <xr:revisionPtr revIDLastSave="0" documentId="13_ncr:1_{A94AFECE-EA1D-4A95-92E8-2FE9DFDAC299}" xr6:coauthVersionLast="47" xr6:coauthVersionMax="47" xr10:uidLastSave="{00000000-0000-0000-0000-000000000000}"/>
  <bookViews>
    <workbookView xWindow="31425" yWindow="2655" windowWidth="2160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6" i="1" l="1"/>
  <c r="T15" i="1"/>
  <c r="T14" i="1"/>
  <c r="T13" i="1"/>
  <c r="T12" i="1"/>
  <c r="T11" i="1"/>
  <c r="T10" i="1"/>
  <c r="T9" i="1"/>
  <c r="O9" i="1"/>
  <c r="U9" i="1" s="1"/>
  <c r="O10" i="1"/>
  <c r="U10" i="1" s="1"/>
  <c r="O11" i="1"/>
  <c r="U11" i="1" s="1"/>
  <c r="O12" i="1"/>
  <c r="U12" i="1" s="1"/>
  <c r="O13" i="1"/>
  <c r="U13" i="1" s="1"/>
  <c r="O14" i="1"/>
  <c r="U14" i="1" s="1"/>
  <c r="O15" i="1"/>
  <c r="U15" i="1" s="1"/>
  <c r="O16" i="1"/>
  <c r="U16" i="1" s="1"/>
  <c r="T8" i="1"/>
  <c r="T7" i="1"/>
  <c r="T6" i="1"/>
  <c r="T5" i="1"/>
  <c r="T4" i="1"/>
  <c r="T3" i="1"/>
  <c r="T2" i="1"/>
  <c r="O5" i="1"/>
  <c r="U5" i="1" s="1"/>
  <c r="O8" i="1"/>
  <c r="U8" i="1" s="1"/>
  <c r="O6" i="1"/>
  <c r="U6" i="1" s="1"/>
  <c r="O7" i="1"/>
  <c r="U7" i="1" s="1"/>
  <c r="O3" i="1"/>
  <c r="U3" i="1" s="1"/>
  <c r="O4" i="1"/>
  <c r="U4" i="1" s="1"/>
  <c r="O2" i="1"/>
  <c r="U2" i="1" s="1"/>
</calcChain>
</file>

<file path=xl/sharedStrings.xml><?xml version="1.0" encoding="utf-8"?>
<sst xmlns="http://schemas.openxmlformats.org/spreadsheetml/2006/main" count="169" uniqueCount="38">
  <si>
    <t>Animal_ID</t>
  </si>
  <si>
    <t>Fiber_Num</t>
  </si>
  <si>
    <t>Trial</t>
  </si>
  <si>
    <t>Fiber_Type</t>
  </si>
  <si>
    <t>Species</t>
  </si>
  <si>
    <t>Sex</t>
  </si>
  <si>
    <t>Cond</t>
  </si>
  <si>
    <t>SL_um</t>
  </si>
  <si>
    <t>CSA_mm2</t>
  </si>
  <si>
    <t>ML_Total_mm</t>
  </si>
  <si>
    <t>ML_Working_mm</t>
  </si>
  <si>
    <t>Fiber_D_um</t>
  </si>
  <si>
    <t>Iso_Fmax_mN</t>
  </si>
  <si>
    <t>Iso_StressMax_mNpermm2</t>
  </si>
  <si>
    <t>250818R3</t>
  </si>
  <si>
    <t>Rat</t>
  </si>
  <si>
    <t>F</t>
  </si>
  <si>
    <t>Cntrl</t>
  </si>
  <si>
    <t>Step</t>
  </si>
  <si>
    <t>F_vel</t>
  </si>
  <si>
    <t>Fmax_Rndn_pct</t>
  </si>
  <si>
    <t>250818R349</t>
  </si>
  <si>
    <t>250818R350</t>
  </si>
  <si>
    <t>Protocol</t>
  </si>
  <si>
    <t>Analyzed</t>
  </si>
  <si>
    <t>No</t>
  </si>
  <si>
    <t>Isotonic_F0</t>
  </si>
  <si>
    <t>Step_time_s</t>
  </si>
  <si>
    <t>Movement_to_bath_3</t>
  </si>
  <si>
    <t>Notes</t>
  </si>
  <si>
    <t>Isotonic level 0.95, so not much shortening</t>
  </si>
  <si>
    <t>Excellent isotonic</t>
  </si>
  <si>
    <t>Protocol fail</t>
  </si>
  <si>
    <t>OM_Conc_uM</t>
  </si>
  <si>
    <t>Muscle</t>
  </si>
  <si>
    <t>MG</t>
  </si>
  <si>
    <t>IIb</t>
  </si>
  <si>
    <t>IId/b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</si>
</sst>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5"/>
  <sheetViews>
    <sheetView tabSelected="1" topLeftCell="A4" zoomScaleNormal="100" workbookViewId="0">
      <selection activeCell="G21" sqref="G21"/>
    </sheetView>
  </sheetViews>
  <sheetFormatPr defaultRowHeight="15" x14ac:dyDescent="0.25"/>
  <cols>
    <col min="1" max="1" width="10.85546875" style="2" bestFit="1" customWidth="1"/>
    <col min="2" max="2" width="12.140625" style="2" customWidth="1"/>
    <col min="3" max="3" width="10.85546875" style="2" bestFit="1" customWidth="1"/>
    <col min="4" max="5" width="10.85546875" style="2" customWidth="1"/>
    <col min="6" max="6" width="10.85546875" style="2" bestFit="1" customWidth="1"/>
    <col min="7" max="9" width="9.140625" style="2"/>
    <col min="10" max="10" width="15.140625" style="2" customWidth="1"/>
    <col min="11" max="11" width="13.5703125" style="2" bestFit="1" customWidth="1"/>
    <col min="12" max="12" width="14.28515625" style="2" bestFit="1" customWidth="1"/>
    <col min="13" max="13" width="16.5703125" style="2" bestFit="1" customWidth="1"/>
    <col min="14" max="14" width="11.7109375" style="2" bestFit="1" customWidth="1"/>
    <col min="15" max="15" width="12" style="2" bestFit="1" customWidth="1"/>
    <col min="16" max="16" width="13.140625" style="2" customWidth="1"/>
    <col min="17" max="17" width="20.5703125" style="2" customWidth="1"/>
    <col min="18" max="18" width="17.42578125" style="2" customWidth="1"/>
    <col min="19" max="19" width="13.5703125" style="2" bestFit="1" customWidth="1"/>
    <col min="20" max="20" width="15.140625" style="2" bestFit="1" customWidth="1"/>
    <col min="21" max="21" width="25.7109375" style="2" bestFit="1" customWidth="1"/>
    <col min="22" max="16384" width="9.140625" style="2"/>
  </cols>
  <sheetData>
    <row r="1" spans="1:23" customFormat="1" x14ac:dyDescent="0.25">
      <c r="A1" t="s">
        <v>0</v>
      </c>
      <c r="B1" t="s">
        <v>1</v>
      </c>
      <c r="C1" t="s">
        <v>2</v>
      </c>
      <c r="D1" t="s">
        <v>23</v>
      </c>
      <c r="E1" t="s">
        <v>34</v>
      </c>
      <c r="F1" t="s">
        <v>3</v>
      </c>
      <c r="G1" t="s">
        <v>4</v>
      </c>
      <c r="H1" t="s">
        <v>5</v>
      </c>
      <c r="I1" t="s">
        <v>6</v>
      </c>
      <c r="J1" t="s">
        <v>33</v>
      </c>
      <c r="K1" t="s">
        <v>7</v>
      </c>
      <c r="L1" t="s">
        <v>9</v>
      </c>
      <c r="M1" t="s">
        <v>10</v>
      </c>
      <c r="N1" t="s">
        <v>11</v>
      </c>
      <c r="O1" t="s">
        <v>8</v>
      </c>
      <c r="P1" t="s">
        <v>26</v>
      </c>
      <c r="Q1" t="s">
        <v>28</v>
      </c>
      <c r="R1" t="s">
        <v>27</v>
      </c>
      <c r="S1" t="s">
        <v>12</v>
      </c>
      <c r="T1" t="s">
        <v>20</v>
      </c>
      <c r="U1" t="s">
        <v>13</v>
      </c>
      <c r="V1" t="s">
        <v>24</v>
      </c>
      <c r="W1" t="s">
        <v>29</v>
      </c>
    </row>
    <row r="2" spans="1:23" customFormat="1" x14ac:dyDescent="0.25">
      <c r="A2" t="s">
        <v>14</v>
      </c>
      <c r="B2" t="s">
        <v>21</v>
      </c>
      <c r="C2">
        <v>1</v>
      </c>
      <c r="D2" t="s">
        <v>18</v>
      </c>
      <c r="E2" t="s">
        <v>35</v>
      </c>
      <c r="F2" t="s">
        <v>36</v>
      </c>
      <c r="G2" t="s">
        <v>15</v>
      </c>
      <c r="H2" t="s">
        <v>16</v>
      </c>
      <c r="I2" t="s">
        <v>17</v>
      </c>
      <c r="J2">
        <v>0</v>
      </c>
      <c r="K2">
        <v>2.7</v>
      </c>
      <c r="L2">
        <v>2.34</v>
      </c>
      <c r="M2">
        <v>1.82</v>
      </c>
      <c r="N2">
        <v>55</v>
      </c>
      <c r="O2">
        <f>3.14159*(N2/2000)*(N2/2000)</f>
        <v>2.3758274374999998E-3</v>
      </c>
      <c r="P2">
        <v>1</v>
      </c>
      <c r="Q2">
        <v>27</v>
      </c>
      <c r="R2">
        <v>31.5</v>
      </c>
      <c r="S2">
        <v>0.66</v>
      </c>
      <c r="T2">
        <f>(1-(S2/S$2))*100</f>
        <v>0</v>
      </c>
      <c r="U2">
        <f t="shared" ref="U2:U22" si="0">S2/O2</f>
        <v>277.79795349720138</v>
      </c>
      <c r="V2" t="s">
        <v>25</v>
      </c>
    </row>
    <row r="3" spans="1:23" customFormat="1" x14ac:dyDescent="0.25">
      <c r="A3" t="s">
        <v>14</v>
      </c>
      <c r="B3" t="s">
        <v>21</v>
      </c>
      <c r="C3">
        <v>2</v>
      </c>
      <c r="D3" t="s">
        <v>18</v>
      </c>
      <c r="E3" t="s">
        <v>35</v>
      </c>
      <c r="F3" t="s">
        <v>36</v>
      </c>
      <c r="G3" t="s">
        <v>15</v>
      </c>
      <c r="H3" t="s">
        <v>16</v>
      </c>
      <c r="I3" t="s">
        <v>17</v>
      </c>
      <c r="J3">
        <v>0</v>
      </c>
      <c r="K3">
        <v>2.4</v>
      </c>
      <c r="L3">
        <v>2.2749999999999999</v>
      </c>
      <c r="M3">
        <v>1.69</v>
      </c>
      <c r="N3">
        <v>62</v>
      </c>
      <c r="O3">
        <f t="shared" ref="O3:O4" si="1">3.14159*(N3/2000)*(N3/2000)</f>
        <v>3.0190679899999998E-3</v>
      </c>
      <c r="P3">
        <v>1</v>
      </c>
      <c r="Q3">
        <v>27</v>
      </c>
      <c r="R3">
        <v>31.5</v>
      </c>
      <c r="S3">
        <v>0.61</v>
      </c>
      <c r="T3">
        <f>(1-(S3/S$2))*100</f>
        <v>7.5757575757575797</v>
      </c>
      <c r="U3">
        <f t="shared" si="0"/>
        <v>202.0491098645314</v>
      </c>
      <c r="V3" t="s">
        <v>25</v>
      </c>
    </row>
    <row r="4" spans="1:23" customFormat="1" x14ac:dyDescent="0.25">
      <c r="A4" t="s">
        <v>14</v>
      </c>
      <c r="B4" t="s">
        <v>21</v>
      </c>
      <c r="C4">
        <v>3</v>
      </c>
      <c r="D4" t="s">
        <v>19</v>
      </c>
      <c r="E4" t="s">
        <v>35</v>
      </c>
      <c r="F4" t="s">
        <v>36</v>
      </c>
      <c r="G4" t="s">
        <v>15</v>
      </c>
      <c r="H4" t="s">
        <v>16</v>
      </c>
      <c r="I4" t="s">
        <v>17</v>
      </c>
      <c r="J4">
        <v>0</v>
      </c>
      <c r="K4">
        <v>2.7</v>
      </c>
      <c r="L4">
        <v>2.4</v>
      </c>
      <c r="M4">
        <v>1.82</v>
      </c>
      <c r="N4">
        <v>55</v>
      </c>
      <c r="O4">
        <f t="shared" si="1"/>
        <v>2.3758274374999998E-3</v>
      </c>
      <c r="P4">
        <v>0.75</v>
      </c>
      <c r="Q4">
        <v>30.2</v>
      </c>
      <c r="R4">
        <v>35.200000000000003</v>
      </c>
      <c r="S4">
        <v>0.53</v>
      </c>
      <c r="T4">
        <f>(1-(S4/S$2))*100</f>
        <v>19.696969696969703</v>
      </c>
      <c r="U4">
        <f t="shared" si="0"/>
        <v>223.08017477805564</v>
      </c>
      <c r="V4" t="s">
        <v>25</v>
      </c>
      <c r="W4" t="s">
        <v>30</v>
      </c>
    </row>
    <row r="5" spans="1:23" customFormat="1" x14ac:dyDescent="0.25">
      <c r="A5" t="s">
        <v>14</v>
      </c>
      <c r="B5" t="s">
        <v>21</v>
      </c>
      <c r="C5">
        <v>4</v>
      </c>
      <c r="D5" t="s">
        <v>19</v>
      </c>
      <c r="E5" t="s">
        <v>35</v>
      </c>
      <c r="F5" t="s">
        <v>36</v>
      </c>
      <c r="G5" t="s">
        <v>15</v>
      </c>
      <c r="H5" t="s">
        <v>16</v>
      </c>
      <c r="I5" t="s">
        <v>17</v>
      </c>
      <c r="J5">
        <v>0</v>
      </c>
      <c r="K5">
        <v>2.7</v>
      </c>
      <c r="L5">
        <v>2.4</v>
      </c>
      <c r="M5">
        <v>1.82</v>
      </c>
      <c r="N5">
        <v>55</v>
      </c>
      <c r="O5">
        <f t="shared" ref="O5" si="2">3.14159*(N5/2000)*(N5/2000)</f>
        <v>2.3758274374999998E-3</v>
      </c>
      <c r="P5">
        <v>0.5</v>
      </c>
      <c r="Q5">
        <v>30.2</v>
      </c>
      <c r="R5">
        <v>35.200000000000003</v>
      </c>
      <c r="S5">
        <v>0.49</v>
      </c>
      <c r="T5" s="1">
        <f>(1-(S5/S$2))*100</f>
        <v>25.757575757575758</v>
      </c>
      <c r="U5">
        <f t="shared" si="0"/>
        <v>206.24393517216464</v>
      </c>
      <c r="V5" t="s">
        <v>25</v>
      </c>
      <c r="W5" t="s">
        <v>31</v>
      </c>
    </row>
    <row r="6" spans="1:23" customFormat="1" x14ac:dyDescent="0.25">
      <c r="A6" t="s">
        <v>14</v>
      </c>
      <c r="B6" t="s">
        <v>22</v>
      </c>
      <c r="C6">
        <v>1</v>
      </c>
      <c r="D6" t="s">
        <v>18</v>
      </c>
      <c r="E6" t="s">
        <v>35</v>
      </c>
      <c r="F6" t="s">
        <v>37</v>
      </c>
      <c r="G6" t="s">
        <v>15</v>
      </c>
      <c r="H6" t="s">
        <v>16</v>
      </c>
      <c r="I6" t="s">
        <v>17</v>
      </c>
      <c r="J6">
        <v>0</v>
      </c>
      <c r="K6">
        <v>2.7</v>
      </c>
      <c r="L6">
        <v>2.4700000000000002</v>
      </c>
      <c r="M6">
        <v>1.7549999999999999</v>
      </c>
      <c r="N6">
        <v>65</v>
      </c>
      <c r="O6">
        <f>3.14159*(N6/2000)*(N6/2000)</f>
        <v>3.3183044375000004E-3</v>
      </c>
      <c r="P6">
        <v>1</v>
      </c>
      <c r="Q6">
        <v>27</v>
      </c>
      <c r="R6">
        <v>31.5</v>
      </c>
      <c r="S6">
        <v>0.66</v>
      </c>
      <c r="T6">
        <f t="shared" ref="T6:T16" si="3">(1-(S6/S$6))*100</f>
        <v>0</v>
      </c>
      <c r="U6">
        <f t="shared" si="0"/>
        <v>198.89675960450509</v>
      </c>
      <c r="V6" t="s">
        <v>25</v>
      </c>
    </row>
    <row r="7" spans="1:23" customFormat="1" x14ac:dyDescent="0.25">
      <c r="A7" t="s">
        <v>14</v>
      </c>
      <c r="B7" t="s">
        <v>22</v>
      </c>
      <c r="C7">
        <v>2</v>
      </c>
      <c r="D7" t="s">
        <v>18</v>
      </c>
      <c r="E7" t="s">
        <v>35</v>
      </c>
      <c r="F7" t="s">
        <v>37</v>
      </c>
      <c r="G7" t="s">
        <v>15</v>
      </c>
      <c r="H7" t="s">
        <v>16</v>
      </c>
      <c r="I7" t="s">
        <v>17</v>
      </c>
      <c r="J7">
        <v>0</v>
      </c>
      <c r="K7">
        <v>2.4</v>
      </c>
      <c r="L7">
        <v>2.34</v>
      </c>
      <c r="M7">
        <v>1.6</v>
      </c>
      <c r="N7">
        <v>62</v>
      </c>
      <c r="O7">
        <f>3.14159*(N7/2000)*(N7/2000)</f>
        <v>3.0190679899999998E-3</v>
      </c>
      <c r="P7">
        <v>1</v>
      </c>
      <c r="Q7">
        <v>27</v>
      </c>
      <c r="R7">
        <v>31.5</v>
      </c>
      <c r="S7">
        <v>0.67</v>
      </c>
      <c r="T7">
        <f t="shared" si="3"/>
        <v>-1.5151515151515138</v>
      </c>
      <c r="U7">
        <f t="shared" si="0"/>
        <v>221.92279280202632</v>
      </c>
      <c r="V7" t="s">
        <v>25</v>
      </c>
    </row>
    <row r="8" spans="1:23" customFormat="1" x14ac:dyDescent="0.25">
      <c r="A8" t="s">
        <v>14</v>
      </c>
      <c r="B8" t="s">
        <v>22</v>
      </c>
      <c r="C8">
        <v>3</v>
      </c>
      <c r="D8" t="s">
        <v>19</v>
      </c>
      <c r="E8" t="s">
        <v>35</v>
      </c>
      <c r="F8" t="s">
        <v>37</v>
      </c>
      <c r="G8" t="s">
        <v>15</v>
      </c>
      <c r="H8" t="s">
        <v>16</v>
      </c>
      <c r="I8" t="s">
        <v>17</v>
      </c>
      <c r="J8">
        <v>0</v>
      </c>
      <c r="K8">
        <v>2.7</v>
      </c>
      <c r="L8">
        <v>2.4700000000000002</v>
      </c>
      <c r="M8">
        <v>1.885</v>
      </c>
      <c r="N8">
        <v>65</v>
      </c>
      <c r="O8">
        <f t="shared" ref="O8:O22" si="4">3.14159*(N8/2000)*(N8/2000)</f>
        <v>3.3183044375000004E-3</v>
      </c>
      <c r="P8">
        <v>0.3</v>
      </c>
      <c r="Q8">
        <v>30.2</v>
      </c>
      <c r="R8">
        <v>35.200000000000003</v>
      </c>
      <c r="S8">
        <v>0.62</v>
      </c>
      <c r="T8">
        <f t="shared" si="3"/>
        <v>6.0606060606060659</v>
      </c>
      <c r="U8">
        <f t="shared" si="0"/>
        <v>186.84241053756537</v>
      </c>
      <c r="V8" t="s">
        <v>25</v>
      </c>
      <c r="W8" t="s">
        <v>32</v>
      </c>
    </row>
    <row r="9" spans="1:23" customFormat="1" x14ac:dyDescent="0.25">
      <c r="A9" t="s">
        <v>14</v>
      </c>
      <c r="B9" t="s">
        <v>22</v>
      </c>
      <c r="C9">
        <v>4</v>
      </c>
      <c r="D9" t="s">
        <v>19</v>
      </c>
      <c r="E9" t="s">
        <v>35</v>
      </c>
      <c r="F9" t="s">
        <v>37</v>
      </c>
      <c r="G9" t="s">
        <v>15</v>
      </c>
      <c r="H9" t="s">
        <v>16</v>
      </c>
      <c r="I9" t="s">
        <v>17</v>
      </c>
      <c r="J9">
        <v>0</v>
      </c>
      <c r="K9">
        <v>2.7</v>
      </c>
      <c r="L9">
        <v>2.4700000000000002</v>
      </c>
      <c r="M9">
        <v>1.885</v>
      </c>
      <c r="N9">
        <v>65</v>
      </c>
      <c r="O9">
        <f t="shared" si="4"/>
        <v>3.3183044375000004E-3</v>
      </c>
      <c r="P9">
        <v>0.3</v>
      </c>
      <c r="Q9">
        <v>30.2</v>
      </c>
      <c r="R9">
        <v>35.200000000000003</v>
      </c>
      <c r="S9">
        <v>0.62</v>
      </c>
      <c r="T9">
        <f t="shared" si="3"/>
        <v>6.0606060606060659</v>
      </c>
      <c r="U9">
        <f t="shared" si="0"/>
        <v>186.84241053756537</v>
      </c>
      <c r="V9" t="s">
        <v>25</v>
      </c>
      <c r="W9" t="s">
        <v>32</v>
      </c>
    </row>
    <row r="10" spans="1:23" customFormat="1" x14ac:dyDescent="0.25">
      <c r="A10" t="s">
        <v>14</v>
      </c>
      <c r="B10" t="s">
        <v>22</v>
      </c>
      <c r="C10">
        <v>5</v>
      </c>
      <c r="D10" t="s">
        <v>19</v>
      </c>
      <c r="E10" t="s">
        <v>35</v>
      </c>
      <c r="F10" t="s">
        <v>37</v>
      </c>
      <c r="G10" t="s">
        <v>15</v>
      </c>
      <c r="H10" t="s">
        <v>16</v>
      </c>
      <c r="I10" t="s">
        <v>17</v>
      </c>
      <c r="J10">
        <v>0</v>
      </c>
      <c r="K10">
        <v>2.7</v>
      </c>
      <c r="L10">
        <v>2.4700000000000002</v>
      </c>
      <c r="M10">
        <v>1.885</v>
      </c>
      <c r="N10">
        <v>65</v>
      </c>
      <c r="O10">
        <f t="shared" si="4"/>
        <v>3.3183044375000004E-3</v>
      </c>
      <c r="P10">
        <v>0.3</v>
      </c>
      <c r="Q10">
        <v>30.2</v>
      </c>
      <c r="R10">
        <v>35.200000000000003</v>
      </c>
      <c r="S10">
        <v>0.6</v>
      </c>
      <c r="T10">
        <f t="shared" si="3"/>
        <v>9.0909090909090935</v>
      </c>
      <c r="U10">
        <f t="shared" si="0"/>
        <v>180.81523600409551</v>
      </c>
      <c r="V10" t="s">
        <v>25</v>
      </c>
      <c r="W10" t="s">
        <v>32</v>
      </c>
    </row>
    <row r="11" spans="1:23" customFormat="1" x14ac:dyDescent="0.25">
      <c r="A11" t="s">
        <v>14</v>
      </c>
      <c r="B11" t="s">
        <v>22</v>
      </c>
      <c r="C11">
        <v>6</v>
      </c>
      <c r="D11" t="s">
        <v>19</v>
      </c>
      <c r="E11" t="s">
        <v>35</v>
      </c>
      <c r="F11" t="s">
        <v>37</v>
      </c>
      <c r="G11" t="s">
        <v>15</v>
      </c>
      <c r="H11" t="s">
        <v>16</v>
      </c>
      <c r="I11" t="s">
        <v>17</v>
      </c>
      <c r="J11">
        <v>0</v>
      </c>
      <c r="K11">
        <v>2.7</v>
      </c>
      <c r="L11">
        <v>2.4700000000000002</v>
      </c>
      <c r="M11">
        <v>1.885</v>
      </c>
      <c r="N11">
        <v>65</v>
      </c>
      <c r="O11">
        <f t="shared" si="4"/>
        <v>3.3183044375000004E-3</v>
      </c>
      <c r="P11">
        <v>0.3</v>
      </c>
      <c r="Q11">
        <v>30.2</v>
      </c>
      <c r="R11">
        <v>35.200000000000003</v>
      </c>
      <c r="S11">
        <v>0.59</v>
      </c>
      <c r="T11">
        <f t="shared" si="3"/>
        <v>10.60606060606062</v>
      </c>
      <c r="U11">
        <f t="shared" si="0"/>
        <v>177.80164873736058</v>
      </c>
      <c r="V11" t="s">
        <v>25</v>
      </c>
      <c r="W11" t="s">
        <v>32</v>
      </c>
    </row>
    <row r="12" spans="1:23" customFormat="1" x14ac:dyDescent="0.25">
      <c r="A12" t="s">
        <v>14</v>
      </c>
      <c r="B12" t="s">
        <v>22</v>
      </c>
      <c r="C12">
        <v>7</v>
      </c>
      <c r="D12" t="s">
        <v>19</v>
      </c>
      <c r="E12" t="s">
        <v>35</v>
      </c>
      <c r="F12" t="s">
        <v>37</v>
      </c>
      <c r="G12" t="s">
        <v>15</v>
      </c>
      <c r="H12" t="s">
        <v>16</v>
      </c>
      <c r="I12" t="s">
        <v>17</v>
      </c>
      <c r="J12">
        <v>0</v>
      </c>
      <c r="K12">
        <v>2.7</v>
      </c>
      <c r="L12">
        <v>2.4700000000000002</v>
      </c>
      <c r="M12">
        <v>1.885</v>
      </c>
      <c r="N12">
        <v>65</v>
      </c>
      <c r="O12">
        <f t="shared" si="4"/>
        <v>3.3183044375000004E-3</v>
      </c>
      <c r="P12">
        <v>0.3</v>
      </c>
      <c r="Q12">
        <v>30.2</v>
      </c>
      <c r="R12">
        <v>35.200000000000003</v>
      </c>
      <c r="S12">
        <v>0.6</v>
      </c>
      <c r="T12">
        <f t="shared" si="3"/>
        <v>9.0909090909090935</v>
      </c>
      <c r="U12">
        <f t="shared" si="0"/>
        <v>180.81523600409551</v>
      </c>
      <c r="V12" t="s">
        <v>25</v>
      </c>
      <c r="W12" t="s">
        <v>32</v>
      </c>
    </row>
    <row r="13" spans="1:23" customFormat="1" x14ac:dyDescent="0.25">
      <c r="A13" t="s">
        <v>14</v>
      </c>
      <c r="B13" t="s">
        <v>22</v>
      </c>
      <c r="C13">
        <v>8</v>
      </c>
      <c r="D13" t="s">
        <v>19</v>
      </c>
      <c r="E13" t="s">
        <v>35</v>
      </c>
      <c r="F13" t="s">
        <v>37</v>
      </c>
      <c r="G13" t="s">
        <v>15</v>
      </c>
      <c r="H13" t="s">
        <v>16</v>
      </c>
      <c r="I13" t="s">
        <v>17</v>
      </c>
      <c r="J13">
        <v>0</v>
      </c>
      <c r="K13">
        <v>2.7</v>
      </c>
      <c r="L13">
        <v>2.4700000000000002</v>
      </c>
      <c r="M13">
        <v>1.885</v>
      </c>
      <c r="N13">
        <v>65</v>
      </c>
      <c r="O13">
        <f t="shared" si="4"/>
        <v>3.3183044375000004E-3</v>
      </c>
      <c r="P13">
        <v>0.3</v>
      </c>
      <c r="Q13">
        <v>30.2</v>
      </c>
      <c r="R13">
        <v>35.200000000000003</v>
      </c>
      <c r="S13">
        <v>0.57999999999999996</v>
      </c>
      <c r="T13">
        <f t="shared" si="3"/>
        <v>12.121212121212132</v>
      </c>
      <c r="U13">
        <f t="shared" si="0"/>
        <v>174.78806147062565</v>
      </c>
      <c r="V13" t="s">
        <v>25</v>
      </c>
      <c r="W13" t="s">
        <v>32</v>
      </c>
    </row>
    <row r="14" spans="1:23" customFormat="1" x14ac:dyDescent="0.25">
      <c r="A14" t="s">
        <v>14</v>
      </c>
      <c r="B14" t="s">
        <v>22</v>
      </c>
      <c r="C14">
        <v>9</v>
      </c>
      <c r="D14" t="s">
        <v>19</v>
      </c>
      <c r="E14" t="s">
        <v>35</v>
      </c>
      <c r="F14" t="s">
        <v>37</v>
      </c>
      <c r="G14" t="s">
        <v>15</v>
      </c>
      <c r="H14" t="s">
        <v>16</v>
      </c>
      <c r="I14" t="s">
        <v>17</v>
      </c>
      <c r="J14">
        <v>0</v>
      </c>
      <c r="K14">
        <v>2.7</v>
      </c>
      <c r="L14">
        <v>2.4700000000000002</v>
      </c>
      <c r="M14">
        <v>1.885</v>
      </c>
      <c r="N14">
        <v>65</v>
      </c>
      <c r="O14">
        <f t="shared" si="4"/>
        <v>3.3183044375000004E-3</v>
      </c>
      <c r="P14">
        <v>0.3</v>
      </c>
      <c r="Q14">
        <v>30.2</v>
      </c>
      <c r="R14">
        <v>35.200000000000003</v>
      </c>
      <c r="S14">
        <v>0.57999999999999996</v>
      </c>
      <c r="T14">
        <f t="shared" si="3"/>
        <v>12.121212121212132</v>
      </c>
      <c r="U14">
        <f t="shared" si="0"/>
        <v>174.78806147062565</v>
      </c>
      <c r="V14" t="s">
        <v>25</v>
      </c>
      <c r="W14" t="s">
        <v>32</v>
      </c>
    </row>
    <row r="15" spans="1:23" customFormat="1" x14ac:dyDescent="0.25">
      <c r="A15" t="s">
        <v>14</v>
      </c>
      <c r="B15" t="s">
        <v>22</v>
      </c>
      <c r="C15">
        <v>10</v>
      </c>
      <c r="D15" t="s">
        <v>19</v>
      </c>
      <c r="E15" t="s">
        <v>35</v>
      </c>
      <c r="F15" t="s">
        <v>37</v>
      </c>
      <c r="G15" t="s">
        <v>15</v>
      </c>
      <c r="H15" t="s">
        <v>16</v>
      </c>
      <c r="I15" t="s">
        <v>17</v>
      </c>
      <c r="J15">
        <v>0</v>
      </c>
      <c r="K15">
        <v>2.7</v>
      </c>
      <c r="L15">
        <v>2.4700000000000002</v>
      </c>
      <c r="M15">
        <v>1.885</v>
      </c>
      <c r="N15">
        <v>65</v>
      </c>
      <c r="O15">
        <f t="shared" si="4"/>
        <v>3.3183044375000004E-3</v>
      </c>
      <c r="P15">
        <v>0.3</v>
      </c>
      <c r="Q15">
        <v>30.2</v>
      </c>
      <c r="R15">
        <v>35.200000000000003</v>
      </c>
      <c r="S15">
        <v>0.56000000000000005</v>
      </c>
      <c r="T15">
        <f t="shared" si="3"/>
        <v>15.151515151515149</v>
      </c>
      <c r="U15">
        <f t="shared" si="0"/>
        <v>168.76088693715585</v>
      </c>
      <c r="V15" t="s">
        <v>25</v>
      </c>
      <c r="W15" t="s">
        <v>32</v>
      </c>
    </row>
    <row r="16" spans="1:23" customFormat="1" x14ac:dyDescent="0.25">
      <c r="A16" t="s">
        <v>14</v>
      </c>
      <c r="B16" t="s">
        <v>22</v>
      </c>
      <c r="C16">
        <v>11</v>
      </c>
      <c r="D16" t="s">
        <v>19</v>
      </c>
      <c r="E16" t="s">
        <v>35</v>
      </c>
      <c r="F16" t="s">
        <v>37</v>
      </c>
      <c r="G16" t="s">
        <v>15</v>
      </c>
      <c r="H16" t="s">
        <v>16</v>
      </c>
      <c r="I16" t="s">
        <v>17</v>
      </c>
      <c r="J16">
        <v>0</v>
      </c>
      <c r="K16">
        <v>2.7</v>
      </c>
      <c r="L16">
        <v>2.4700000000000002</v>
      </c>
      <c r="M16">
        <v>1.885</v>
      </c>
      <c r="N16">
        <v>65</v>
      </c>
      <c r="O16">
        <f t="shared" si="4"/>
        <v>3.3183044375000004E-3</v>
      </c>
      <c r="P16">
        <v>0.3</v>
      </c>
      <c r="Q16">
        <v>30.2</v>
      </c>
      <c r="R16">
        <v>35.200000000000003</v>
      </c>
      <c r="S16">
        <v>0.55000000000000004</v>
      </c>
      <c r="T16">
        <f t="shared" si="3"/>
        <v>16.666666666666664</v>
      </c>
      <c r="U16">
        <f t="shared" si="0"/>
        <v>165.74729967042092</v>
      </c>
      <c r="V16" t="s">
        <v>25</v>
      </c>
      <c r="W16" t="s">
        <v>32</v>
      </c>
    </row>
    <row r="65" spans="4:4" x14ac:dyDescent="0.25">
      <c r="D65" s="3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Tanner, Bert</dc:creator>
  <cp:lastModifiedBy>Tanner, Bertrand</cp:lastModifiedBy>
  <dcterms:created xsi:type="dcterms:W3CDTF">2015-06-05T18:17:20Z</dcterms:created>
  <dcterms:modified xsi:type="dcterms:W3CDTF">2026-07-29T21:26:42Z</dcterms:modified>
</cp:coreProperties>
</file>